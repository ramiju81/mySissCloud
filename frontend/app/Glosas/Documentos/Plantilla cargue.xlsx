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ncd\Privada\Proyectos MySiss\00. Producto\Mejoras Producto\Iniciativas\mySiss Cloud\templates\configuracion\Glosas\Documentos\"/>
    </mc:Choice>
  </mc:AlternateContent>
  <xr:revisionPtr revIDLastSave="0" documentId="13_ncr:1_{9CD4011E-F352-4D4B-BE8C-582D28AFB2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</calcChain>
</file>

<file path=xl/sharedStrings.xml><?xml version="1.0" encoding="utf-8"?>
<sst xmlns="http://schemas.openxmlformats.org/spreadsheetml/2006/main" count="190" uniqueCount="56">
  <si>
    <t>Aseguradora</t>
  </si>
  <si>
    <t>Número caso</t>
  </si>
  <si>
    <t>Estado</t>
  </si>
  <si>
    <t>Fecha objeción (dd.mm.aaaa)</t>
  </si>
  <si>
    <t>Hora</t>
  </si>
  <si>
    <t>Pos</t>
  </si>
  <si>
    <t>Servicio</t>
  </si>
  <si>
    <t>Descripción Servicio</t>
  </si>
  <si>
    <t>Precio</t>
  </si>
  <si>
    <t>Cant</t>
  </si>
  <si>
    <t>Responsable</t>
  </si>
  <si>
    <t>Sura</t>
  </si>
  <si>
    <t>15:11</t>
  </si>
  <si>
    <t>RADIOGRAFÍA TÓRAX</t>
  </si>
  <si>
    <t>Los cargos por apoyo diagnóstico que vienen relacionados o justificados en los soportes de cobro presentan diferencias con los valores pactados o establecidos por la norma</t>
  </si>
  <si>
    <t>09:11</t>
  </si>
  <si>
    <t>TONOMETRIA SOD</t>
  </si>
  <si>
    <t>20:34</t>
  </si>
  <si>
    <t>ELECTROGASTROGRAFIA TRANSCUTANEA O INTRAGASTRICA</t>
  </si>
  <si>
    <t>21:50</t>
  </si>
  <si>
    <t>PRUEBA DE MESA BASCULANTE</t>
  </si>
  <si>
    <t>06:25</t>
  </si>
  <si>
    <t>ELECTROCARDIOGRAFIA DINAMICA (HOLTER)</t>
  </si>
  <si>
    <t>16:10</t>
  </si>
  <si>
    <t>ULTRASONIDO INTRAVASCULAR DIAGNOSTICO</t>
  </si>
  <si>
    <t>18:53</t>
  </si>
  <si>
    <t>RESONANCIA NUCLEAR MAGNETICA DE ORBITAS</t>
  </si>
  <si>
    <t>19:28</t>
  </si>
  <si>
    <t>HEMOPARASITOS EXTENDIDO DE SANGRE PERIFERICA *</t>
  </si>
  <si>
    <t>07:28</t>
  </si>
  <si>
    <t>DIALISIS PERITONEAL AUTOMATIZADA</t>
  </si>
  <si>
    <t>03:58</t>
  </si>
  <si>
    <t>RESISTENCIA DE LAS VIAS AEREAS POR PLETISMOGRAFIA PRE Y POST BRONCODILATADORES</t>
  </si>
  <si>
    <t>15:58</t>
  </si>
  <si>
    <t>19:58</t>
  </si>
  <si>
    <t>20:58</t>
  </si>
  <si>
    <t>14:53</t>
  </si>
  <si>
    <t>Número factura</t>
  </si>
  <si>
    <t>ORA</t>
  </si>
  <si>
    <t>Valor servicio</t>
  </si>
  <si>
    <t>Consecutivo servicio</t>
  </si>
  <si>
    <t>TA0801</t>
  </si>
  <si>
    <t>TA08</t>
  </si>
  <si>
    <t>Apoyo diagnóstico</t>
  </si>
  <si>
    <t>Estado posición</t>
  </si>
  <si>
    <t>ID Motivo objeción</t>
  </si>
  <si>
    <t>Motivo objeción</t>
  </si>
  <si>
    <t>ID Mot específico</t>
  </si>
  <si>
    <t>Motivo específico</t>
  </si>
  <si>
    <t>AGUAJO</t>
  </si>
  <si>
    <t>Objetada</t>
  </si>
  <si>
    <t>Valor objetado</t>
  </si>
  <si>
    <t>Valor No objetado</t>
  </si>
  <si>
    <t>Nota aseguradora</t>
  </si>
  <si>
    <t>Inconsistencia en valores</t>
  </si>
  <si>
    <t>06.11.2025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</si>
</sst>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Aptos"/>
      <family val="2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sz val="8"/>
      <color theme="1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workbookViewId="0">
      <selection activeCell="A3" sqref="A3:XFD3"/>
    </sheetView>
  </sheetViews>
  <sheetFormatPr baseColWidth="10" defaultColWidth="8.7265625" defaultRowHeight="12" x14ac:dyDescent="0.35"/>
  <cols>
    <col min="1" max="1" width="6.7265625" style="1" customWidth="1"/>
    <col min="2" max="2" width="8.54296875" style="1" customWidth="1"/>
    <col min="3" max="3" width="7.54296875" style="1" customWidth="1"/>
    <col min="4" max="4" width="7.453125" style="1" customWidth="1"/>
    <col min="5" max="5" width="12.81640625" style="1" customWidth="1"/>
    <col min="6" max="6" width="5.1796875" style="1" customWidth="1"/>
    <col min="7" max="7" width="3.81640625" style="1" bestFit="1" customWidth="1"/>
    <col min="8" max="8" width="9" style="1" bestFit="1" customWidth="1"/>
    <col min="9" max="9" width="26.54296875" style="1" customWidth="1"/>
    <col min="10" max="10" width="9.7265625" style="1" customWidth="1"/>
    <col min="11" max="11" width="4.7265625" style="6" bestFit="1" customWidth="1"/>
    <col min="12" max="12" width="11.81640625" style="1" customWidth="1"/>
    <col min="13" max="13" width="10.26953125" style="6" customWidth="1"/>
    <col min="14" max="14" width="7.54296875" style="6" customWidth="1"/>
    <col min="15" max="15" width="8.453125" style="1" customWidth="1"/>
    <col min="16" max="16" width="21.1796875" style="1" customWidth="1"/>
    <col min="17" max="17" width="17.81640625" style="1" customWidth="1"/>
    <col min="18" max="18" width="21.1796875" style="1" customWidth="1"/>
    <col min="19" max="19" width="10.453125" style="6" customWidth="1"/>
    <col min="20" max="21" width="7.81640625" style="1" customWidth="1"/>
    <col min="22" max="22" width="16.81640625" style="1" bestFit="1" customWidth="1"/>
    <col min="23" max="16384" width="8.7265625" style="1"/>
  </cols>
  <sheetData>
    <row r="1" spans="1:22" s="11" customFormat="1" ht="29.5" customHeight="1" x14ac:dyDescent="0.35">
      <c r="A1" s="12" t="s">
        <v>0</v>
      </c>
      <c r="B1" s="12" t="s">
        <v>37</v>
      </c>
      <c r="C1" s="12" t="s">
        <v>1</v>
      </c>
      <c r="D1" s="12" t="s">
        <v>2</v>
      </c>
      <c r="E1" s="12" t="s">
        <v>3</v>
      </c>
      <c r="F1" s="12" t="s">
        <v>4</v>
      </c>
      <c r="G1" s="14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39</v>
      </c>
      <c r="M1" s="12" t="s">
        <v>40</v>
      </c>
      <c r="N1" s="12" t="s">
        <v>44</v>
      </c>
      <c r="O1" s="12" t="s">
        <v>45</v>
      </c>
      <c r="P1" s="12" t="s">
        <v>46</v>
      </c>
      <c r="Q1" s="12" t="s">
        <v>47</v>
      </c>
      <c r="R1" s="12" t="s">
        <v>48</v>
      </c>
      <c r="S1" s="12" t="s">
        <v>10</v>
      </c>
      <c r="T1" s="12" t="s">
        <v>51</v>
      </c>
      <c r="U1" s="12" t="s">
        <v>52</v>
      </c>
      <c r="V1" s="12" t="s">
        <v>53</v>
      </c>
    </row>
    <row r="2" spans="1:22" s="4" customFormat="1" ht="12.65" customHeight="1" x14ac:dyDescent="0.25">
      <c r="A2" s="2" t="s">
        <v>11</v>
      </c>
      <c r="B2" s="2">
        <v>90007472</v>
      </c>
      <c r="C2" s="2">
        <v>202511</v>
      </c>
      <c r="D2" s="2" t="s">
        <v>50</v>
      </c>
      <c r="E2" s="2" t="s">
        <v>55</v>
      </c>
      <c r="F2" s="2" t="s">
        <v>12</v>
      </c>
      <c r="G2" s="2">
        <v>1</v>
      </c>
      <c r="H2" s="2">
        <v>871121</v>
      </c>
      <c r="I2" s="3" t="s">
        <v>13</v>
      </c>
      <c r="J2" s="5">
        <v>67000</v>
      </c>
      <c r="K2" s="2">
        <v>1</v>
      </c>
      <c r="L2" s="5">
        <v>67000</v>
      </c>
      <c r="M2" s="2">
        <v>1</v>
      </c>
      <c r="N2" s="7" t="s">
        <v>38</v>
      </c>
      <c r="O2" s="9" t="s">
        <v>42</v>
      </c>
      <c r="P2" s="13" t="s">
        <v>43</v>
      </c>
      <c r="Q2" s="8" t="s">
        <v>41</v>
      </c>
      <c r="R2" s="3" t="s">
        <v>14</v>
      </c>
      <c r="S2" s="2" t="s">
        <v>49</v>
      </c>
      <c r="T2" s="5">
        <v>27000</v>
      </c>
      <c r="U2" s="5">
        <f>+L2-T2</f>
        <v>40000</v>
      </c>
      <c r="V2" s="3" t="s">
        <v>54</v>
      </c>
    </row>
    <row r="3" spans="1:22" s="4" customFormat="1" ht="12.65" customHeight="1" x14ac:dyDescent="0.25">
      <c r="A3" s="2" t="s">
        <v>11</v>
      </c>
      <c r="B3" s="2">
        <v>90008001</v>
      </c>
      <c r="C3" s="2">
        <v>202512</v>
      </c>
      <c r="D3" s="2" t="s">
        <v>50</v>
      </c>
      <c r="E3" s="2" t="s">
        <v>55</v>
      </c>
      <c r="F3" s="2" t="s">
        <v>15</v>
      </c>
      <c r="G3" s="2">
        <v>2</v>
      </c>
      <c r="H3" s="2">
        <v>891100</v>
      </c>
      <c r="I3" s="3" t="s">
        <v>16</v>
      </c>
      <c r="J3" s="5">
        <v>12000</v>
      </c>
      <c r="K3" s="2">
        <v>1</v>
      </c>
      <c r="L3" s="5">
        <v>12000</v>
      </c>
      <c r="M3" s="2">
        <v>2</v>
      </c>
      <c r="N3" s="7" t="s">
        <v>38</v>
      </c>
      <c r="O3" s="9" t="s">
        <v>42</v>
      </c>
      <c r="P3" s="10" t="s">
        <v>43</v>
      </c>
      <c r="Q3" s="8" t="s">
        <v>41</v>
      </c>
      <c r="R3" s="3" t="s">
        <v>14</v>
      </c>
      <c r="S3" s="2" t="s">
        <v>49</v>
      </c>
      <c r="T3" s="5">
        <v>3000</v>
      </c>
      <c r="U3" s="5">
        <f t="shared" ref="U3:U15" si="0">+L3-T3</f>
        <v>9000</v>
      </c>
      <c r="V3" s="3" t="s">
        <v>54</v>
      </c>
    </row>
    <row r="4" spans="1:22" s="4" customFormat="1" ht="12.65" customHeight="1" x14ac:dyDescent="0.25">
      <c r="A4" s="2" t="s">
        <v>11</v>
      </c>
      <c r="B4" s="2">
        <v>90008032</v>
      </c>
      <c r="C4" s="2">
        <v>202512</v>
      </c>
      <c r="D4" s="2" t="s">
        <v>50</v>
      </c>
      <c r="E4" s="2" t="s">
        <v>55</v>
      </c>
      <c r="F4" s="2" t="s">
        <v>17</v>
      </c>
      <c r="G4" s="2">
        <v>3</v>
      </c>
      <c r="H4" s="2">
        <v>893909</v>
      </c>
      <c r="I4" s="3" t="s">
        <v>18</v>
      </c>
      <c r="J4" s="5">
        <v>205210</v>
      </c>
      <c r="K4" s="2">
        <v>1</v>
      </c>
      <c r="L4" s="5">
        <v>205210</v>
      </c>
      <c r="M4" s="2">
        <v>3</v>
      </c>
      <c r="N4" s="7" t="s">
        <v>38</v>
      </c>
      <c r="O4" s="9" t="s">
        <v>42</v>
      </c>
      <c r="P4" s="10" t="s">
        <v>43</v>
      </c>
      <c r="Q4" s="8" t="s">
        <v>41</v>
      </c>
      <c r="R4" s="3" t="s">
        <v>14</v>
      </c>
      <c r="S4" s="2" t="s">
        <v>49</v>
      </c>
      <c r="T4" s="5">
        <v>27000</v>
      </c>
      <c r="U4" s="5">
        <f t="shared" si="0"/>
        <v>178210</v>
      </c>
      <c r="V4" s="3" t="s">
        <v>54</v>
      </c>
    </row>
    <row r="5" spans="1:22" s="4" customFormat="1" ht="12.65" customHeight="1" x14ac:dyDescent="0.25">
      <c r="A5" s="2" t="s">
        <v>11</v>
      </c>
      <c r="B5" s="2">
        <v>90008032</v>
      </c>
      <c r="C5" s="2">
        <v>202512</v>
      </c>
      <c r="D5" s="2" t="s">
        <v>50</v>
      </c>
      <c r="E5" s="2" t="s">
        <v>55</v>
      </c>
      <c r="F5" s="2" t="s">
        <v>19</v>
      </c>
      <c r="G5" s="2">
        <v>4</v>
      </c>
      <c r="H5" s="2">
        <v>894103</v>
      </c>
      <c r="I5" s="3" t="s">
        <v>20</v>
      </c>
      <c r="J5" s="5">
        <v>180470</v>
      </c>
      <c r="K5" s="2">
        <v>1</v>
      </c>
      <c r="L5" s="5">
        <v>180470</v>
      </c>
      <c r="M5" s="2">
        <v>4</v>
      </c>
      <c r="N5" s="7" t="s">
        <v>38</v>
      </c>
      <c r="O5" s="9" t="s">
        <v>42</v>
      </c>
      <c r="P5" s="10" t="s">
        <v>43</v>
      </c>
      <c r="Q5" s="8" t="s">
        <v>41</v>
      </c>
      <c r="R5" s="3" t="s">
        <v>14</v>
      </c>
      <c r="S5" s="2" t="s">
        <v>49</v>
      </c>
      <c r="T5" s="5">
        <v>80000</v>
      </c>
      <c r="U5" s="5">
        <f t="shared" si="0"/>
        <v>100470</v>
      </c>
      <c r="V5" s="3" t="s">
        <v>54</v>
      </c>
    </row>
    <row r="6" spans="1:22" s="4" customFormat="1" ht="12.65" customHeight="1" x14ac:dyDescent="0.25">
      <c r="A6" s="2" t="s">
        <v>11</v>
      </c>
      <c r="B6" s="2">
        <v>90008043</v>
      </c>
      <c r="C6" s="2">
        <v>202513</v>
      </c>
      <c r="D6" s="2" t="s">
        <v>50</v>
      </c>
      <c r="E6" s="2" t="s">
        <v>55</v>
      </c>
      <c r="F6" s="2" t="s">
        <v>21</v>
      </c>
      <c r="G6" s="2">
        <v>3</v>
      </c>
      <c r="H6" s="2">
        <v>895001</v>
      </c>
      <c r="I6" s="3" t="s">
        <v>22</v>
      </c>
      <c r="J6" s="5">
        <v>124040</v>
      </c>
      <c r="K6" s="2">
        <v>1</v>
      </c>
      <c r="L6" s="5">
        <v>124040</v>
      </c>
      <c r="M6" s="2">
        <v>3</v>
      </c>
      <c r="N6" s="7" t="s">
        <v>38</v>
      </c>
      <c r="O6" s="9" t="s">
        <v>42</v>
      </c>
      <c r="P6" s="10" t="s">
        <v>43</v>
      </c>
      <c r="Q6" s="8" t="s">
        <v>41</v>
      </c>
      <c r="R6" s="3" t="s">
        <v>14</v>
      </c>
      <c r="S6" s="2" t="s">
        <v>49</v>
      </c>
      <c r="T6" s="5">
        <v>24040</v>
      </c>
      <c r="U6" s="5">
        <f t="shared" si="0"/>
        <v>100000</v>
      </c>
      <c r="V6" s="3" t="s">
        <v>54</v>
      </c>
    </row>
    <row r="7" spans="1:22" s="4" customFormat="1" ht="12.65" customHeight="1" x14ac:dyDescent="0.25">
      <c r="A7" s="2" t="s">
        <v>11</v>
      </c>
      <c r="B7" s="2">
        <v>90008056</v>
      </c>
      <c r="C7" s="2">
        <v>202514</v>
      </c>
      <c r="D7" s="2" t="s">
        <v>50</v>
      </c>
      <c r="E7" s="2" t="s">
        <v>55</v>
      </c>
      <c r="F7" s="2" t="s">
        <v>23</v>
      </c>
      <c r="G7" s="2">
        <v>3</v>
      </c>
      <c r="H7" s="2">
        <v>895801</v>
      </c>
      <c r="I7" s="3" t="s">
        <v>24</v>
      </c>
      <c r="J7" s="5">
        <v>226490</v>
      </c>
      <c r="K7" s="2">
        <v>1</v>
      </c>
      <c r="L7" s="5">
        <v>226490</v>
      </c>
      <c r="M7" s="2">
        <v>3</v>
      </c>
      <c r="N7" s="7" t="s">
        <v>38</v>
      </c>
      <c r="O7" s="9" t="s">
        <v>42</v>
      </c>
      <c r="P7" s="10" t="s">
        <v>43</v>
      </c>
      <c r="Q7" s="8" t="s">
        <v>41</v>
      </c>
      <c r="R7" s="3" t="s">
        <v>14</v>
      </c>
      <c r="S7" s="2" t="s">
        <v>49</v>
      </c>
      <c r="T7" s="5">
        <v>30000</v>
      </c>
      <c r="U7" s="5">
        <f t="shared" si="0"/>
        <v>196490</v>
      </c>
      <c r="V7" s="3" t="s">
        <v>54</v>
      </c>
    </row>
    <row r="8" spans="1:22" s="4" customFormat="1" ht="12.65" customHeight="1" x14ac:dyDescent="0.25">
      <c r="A8" s="2" t="s">
        <v>11</v>
      </c>
      <c r="B8" s="2">
        <v>90008059</v>
      </c>
      <c r="C8" s="2">
        <v>202515</v>
      </c>
      <c r="D8" s="2" t="s">
        <v>50</v>
      </c>
      <c r="E8" s="2" t="s">
        <v>55</v>
      </c>
      <c r="F8" s="2" t="s">
        <v>25</v>
      </c>
      <c r="G8" s="2">
        <v>4</v>
      </c>
      <c r="H8" s="2">
        <v>883103</v>
      </c>
      <c r="I8" s="3" t="s">
        <v>26</v>
      </c>
      <c r="J8" s="5">
        <v>700000</v>
      </c>
      <c r="K8" s="2">
        <v>1</v>
      </c>
      <c r="L8" s="5">
        <v>700000</v>
      </c>
      <c r="M8" s="2">
        <v>4</v>
      </c>
      <c r="N8" s="7" t="s">
        <v>38</v>
      </c>
      <c r="O8" s="9" t="s">
        <v>42</v>
      </c>
      <c r="P8" s="10" t="s">
        <v>43</v>
      </c>
      <c r="Q8" s="8" t="s">
        <v>41</v>
      </c>
      <c r="R8" s="3" t="s">
        <v>14</v>
      </c>
      <c r="S8" s="2" t="s">
        <v>49</v>
      </c>
      <c r="T8" s="5">
        <v>102000</v>
      </c>
      <c r="U8" s="5">
        <f t="shared" si="0"/>
        <v>598000</v>
      </c>
      <c r="V8" s="3" t="s">
        <v>54</v>
      </c>
    </row>
    <row r="9" spans="1:22" s="4" customFormat="1" ht="12.65" customHeight="1" x14ac:dyDescent="0.25">
      <c r="A9" s="2" t="s">
        <v>11</v>
      </c>
      <c r="B9" s="2">
        <v>90008059</v>
      </c>
      <c r="C9" s="2">
        <v>202515</v>
      </c>
      <c r="D9" s="2" t="s">
        <v>50</v>
      </c>
      <c r="E9" s="2" t="s">
        <v>55</v>
      </c>
      <c r="F9" s="2" t="s">
        <v>27</v>
      </c>
      <c r="G9" s="2">
        <v>5</v>
      </c>
      <c r="H9" s="2">
        <v>902215</v>
      </c>
      <c r="I9" s="3" t="s">
        <v>28</v>
      </c>
      <c r="J9" s="5">
        <v>76000</v>
      </c>
      <c r="K9" s="2">
        <v>1</v>
      </c>
      <c r="L9" s="5">
        <v>76000</v>
      </c>
      <c r="M9" s="2">
        <v>5</v>
      </c>
      <c r="N9" s="7" t="s">
        <v>38</v>
      </c>
      <c r="O9" s="9" t="s">
        <v>42</v>
      </c>
      <c r="P9" s="10" t="s">
        <v>43</v>
      </c>
      <c r="Q9" s="8" t="s">
        <v>41</v>
      </c>
      <c r="R9" s="3" t="s">
        <v>14</v>
      </c>
      <c r="S9" s="2" t="s">
        <v>49</v>
      </c>
      <c r="T9" s="5">
        <v>6000</v>
      </c>
      <c r="U9" s="5">
        <f t="shared" si="0"/>
        <v>70000</v>
      </c>
      <c r="V9" s="3" t="s">
        <v>54</v>
      </c>
    </row>
    <row r="10" spans="1:22" s="4" customFormat="1" ht="12.65" customHeight="1" x14ac:dyDescent="0.25">
      <c r="A10" s="2" t="s">
        <v>11</v>
      </c>
      <c r="B10" s="2">
        <v>90008063</v>
      </c>
      <c r="C10" s="2">
        <v>202516</v>
      </c>
      <c r="D10" s="2" t="s">
        <v>50</v>
      </c>
      <c r="E10" s="2" t="s">
        <v>55</v>
      </c>
      <c r="F10" s="2" t="s">
        <v>29</v>
      </c>
      <c r="G10" s="2">
        <v>2</v>
      </c>
      <c r="H10" s="2">
        <v>549802</v>
      </c>
      <c r="I10" s="3" t="s">
        <v>30</v>
      </c>
      <c r="J10" s="5">
        <v>1080500</v>
      </c>
      <c r="K10" s="2">
        <v>1</v>
      </c>
      <c r="L10" s="5">
        <v>1080500</v>
      </c>
      <c r="M10" s="2">
        <v>2</v>
      </c>
      <c r="N10" s="7" t="s">
        <v>38</v>
      </c>
      <c r="O10" s="9" t="s">
        <v>42</v>
      </c>
      <c r="P10" s="10" t="s">
        <v>43</v>
      </c>
      <c r="Q10" s="8" t="s">
        <v>41</v>
      </c>
      <c r="R10" s="3" t="s">
        <v>14</v>
      </c>
      <c r="S10" s="2" t="s">
        <v>49</v>
      </c>
      <c r="T10" s="5">
        <v>80000</v>
      </c>
      <c r="U10" s="5">
        <f t="shared" si="0"/>
        <v>1000500</v>
      </c>
      <c r="V10" s="3" t="s">
        <v>54</v>
      </c>
    </row>
    <row r="11" spans="1:22" s="4" customFormat="1" ht="12.65" customHeight="1" x14ac:dyDescent="0.25">
      <c r="A11" s="2" t="s">
        <v>11</v>
      </c>
      <c r="B11" s="2">
        <v>90008076</v>
      </c>
      <c r="C11" s="2">
        <v>202517</v>
      </c>
      <c r="D11" s="2" t="s">
        <v>50</v>
      </c>
      <c r="E11" s="2" t="s">
        <v>55</v>
      </c>
      <c r="F11" s="2" t="s">
        <v>31</v>
      </c>
      <c r="G11" s="2">
        <v>3</v>
      </c>
      <c r="H11" s="2">
        <v>893813</v>
      </c>
      <c r="I11" s="3" t="s">
        <v>32</v>
      </c>
      <c r="J11" s="5">
        <v>109800</v>
      </c>
      <c r="K11" s="2">
        <v>1</v>
      </c>
      <c r="L11" s="5">
        <v>109800</v>
      </c>
      <c r="M11" s="2">
        <v>3</v>
      </c>
      <c r="N11" s="7" t="s">
        <v>38</v>
      </c>
      <c r="O11" s="9" t="s">
        <v>42</v>
      </c>
      <c r="P11" s="10" t="s">
        <v>43</v>
      </c>
      <c r="Q11" s="8" t="s">
        <v>41</v>
      </c>
      <c r="R11" s="3" t="s">
        <v>14</v>
      </c>
      <c r="S11" s="2" t="s">
        <v>49</v>
      </c>
      <c r="T11" s="5">
        <v>14000</v>
      </c>
      <c r="U11" s="5">
        <f t="shared" si="0"/>
        <v>95800</v>
      </c>
      <c r="V11" s="3" t="s">
        <v>54</v>
      </c>
    </row>
    <row r="12" spans="1:22" s="4" customFormat="1" ht="12.65" customHeight="1" x14ac:dyDescent="0.25">
      <c r="A12" s="2" t="s">
        <v>11</v>
      </c>
      <c r="B12" s="2">
        <v>90008076</v>
      </c>
      <c r="C12" s="2">
        <v>202517</v>
      </c>
      <c r="D12" s="2" t="s">
        <v>50</v>
      </c>
      <c r="E12" s="2" t="s">
        <v>55</v>
      </c>
      <c r="F12" s="2" t="s">
        <v>33</v>
      </c>
      <c r="G12" s="2">
        <v>4</v>
      </c>
      <c r="H12" s="2">
        <v>871121</v>
      </c>
      <c r="I12" s="3" t="s">
        <v>13</v>
      </c>
      <c r="J12" s="5">
        <v>67000</v>
      </c>
      <c r="K12" s="2">
        <v>1</v>
      </c>
      <c r="L12" s="5">
        <v>67000</v>
      </c>
      <c r="M12" s="2">
        <v>4</v>
      </c>
      <c r="N12" s="7" t="s">
        <v>38</v>
      </c>
      <c r="O12" s="9" t="s">
        <v>42</v>
      </c>
      <c r="P12" s="10" t="s">
        <v>43</v>
      </c>
      <c r="Q12" s="8" t="s">
        <v>41</v>
      </c>
      <c r="R12" s="3" t="s">
        <v>14</v>
      </c>
      <c r="S12" s="2" t="s">
        <v>49</v>
      </c>
      <c r="T12" s="5">
        <v>7000</v>
      </c>
      <c r="U12" s="5">
        <f t="shared" si="0"/>
        <v>60000</v>
      </c>
      <c r="V12" s="3" t="s">
        <v>54</v>
      </c>
    </row>
    <row r="13" spans="1:22" s="4" customFormat="1" ht="12.65" customHeight="1" x14ac:dyDescent="0.25">
      <c r="A13" s="2" t="s">
        <v>11</v>
      </c>
      <c r="B13" s="2">
        <v>90008079</v>
      </c>
      <c r="C13" s="2">
        <v>202518</v>
      </c>
      <c r="D13" s="2" t="s">
        <v>50</v>
      </c>
      <c r="E13" s="2" t="s">
        <v>55</v>
      </c>
      <c r="F13" s="2" t="s">
        <v>34</v>
      </c>
      <c r="G13" s="2">
        <v>4</v>
      </c>
      <c r="H13" s="2">
        <v>893909</v>
      </c>
      <c r="I13" s="3" t="s">
        <v>18</v>
      </c>
      <c r="J13" s="5">
        <v>205210</v>
      </c>
      <c r="K13" s="2">
        <v>1</v>
      </c>
      <c r="L13" s="5">
        <v>205210</v>
      </c>
      <c r="M13" s="2">
        <v>4</v>
      </c>
      <c r="N13" s="7" t="s">
        <v>38</v>
      </c>
      <c r="O13" s="9" t="s">
        <v>42</v>
      </c>
      <c r="P13" s="10" t="s">
        <v>43</v>
      </c>
      <c r="Q13" s="8" t="s">
        <v>41</v>
      </c>
      <c r="R13" s="3" t="s">
        <v>14</v>
      </c>
      <c r="S13" s="2" t="s">
        <v>49</v>
      </c>
      <c r="T13" s="5">
        <v>27000</v>
      </c>
      <c r="U13" s="5">
        <f t="shared" si="0"/>
        <v>178210</v>
      </c>
      <c r="V13" s="3" t="s">
        <v>54</v>
      </c>
    </row>
    <row r="14" spans="1:22" s="4" customFormat="1" ht="12.65" customHeight="1" x14ac:dyDescent="0.25">
      <c r="A14" s="2" t="s">
        <v>11</v>
      </c>
      <c r="B14" s="2">
        <v>90008079</v>
      </c>
      <c r="C14" s="2">
        <v>202518</v>
      </c>
      <c r="D14" s="2" t="s">
        <v>50</v>
      </c>
      <c r="E14" s="2" t="s">
        <v>55</v>
      </c>
      <c r="F14" s="2" t="s">
        <v>35</v>
      </c>
      <c r="G14" s="2">
        <v>5</v>
      </c>
      <c r="H14" s="2">
        <v>894103</v>
      </c>
      <c r="I14" s="3" t="s">
        <v>20</v>
      </c>
      <c r="J14" s="5">
        <v>180470</v>
      </c>
      <c r="K14" s="2">
        <v>1</v>
      </c>
      <c r="L14" s="5">
        <v>180470</v>
      </c>
      <c r="M14" s="2">
        <v>5</v>
      </c>
      <c r="N14" s="7" t="s">
        <v>38</v>
      </c>
      <c r="O14" s="9" t="s">
        <v>42</v>
      </c>
      <c r="P14" s="10" t="s">
        <v>43</v>
      </c>
      <c r="Q14" s="8" t="s">
        <v>41</v>
      </c>
      <c r="R14" s="3" t="s">
        <v>14</v>
      </c>
      <c r="S14" s="2" t="s">
        <v>49</v>
      </c>
      <c r="T14" s="5">
        <v>80000</v>
      </c>
      <c r="U14" s="5">
        <f t="shared" si="0"/>
        <v>100470</v>
      </c>
      <c r="V14" s="3" t="s">
        <v>54</v>
      </c>
    </row>
    <row r="15" spans="1:22" s="4" customFormat="1" ht="12.65" customHeight="1" x14ac:dyDescent="0.25">
      <c r="A15" s="2" t="s">
        <v>11</v>
      </c>
      <c r="B15" s="2">
        <v>90008080</v>
      </c>
      <c r="C15" s="2">
        <v>202519</v>
      </c>
      <c r="D15" s="2" t="s">
        <v>50</v>
      </c>
      <c r="E15" s="2" t="s">
        <v>55</v>
      </c>
      <c r="F15" s="2" t="s">
        <v>36</v>
      </c>
      <c r="G15" s="2">
        <v>2</v>
      </c>
      <c r="H15" s="2">
        <v>883103</v>
      </c>
      <c r="I15" s="3" t="s">
        <v>26</v>
      </c>
      <c r="J15" s="5">
        <v>700000</v>
      </c>
      <c r="K15" s="2">
        <v>1</v>
      </c>
      <c r="L15" s="5">
        <v>700000</v>
      </c>
      <c r="M15" s="2">
        <v>2</v>
      </c>
      <c r="N15" s="7" t="s">
        <v>38</v>
      </c>
      <c r="O15" s="9" t="s">
        <v>42</v>
      </c>
      <c r="P15" s="10" t="s">
        <v>43</v>
      </c>
      <c r="Q15" s="8" t="s">
        <v>41</v>
      </c>
      <c r="R15" s="3" t="s">
        <v>14</v>
      </c>
      <c r="S15" s="2" t="s">
        <v>49</v>
      </c>
      <c r="T15" s="5">
        <v>102000</v>
      </c>
      <c r="U15" s="5">
        <f t="shared" si="0"/>
        <v>598000</v>
      </c>
      <c r="V15" s="3" t="s">
        <v>54</v>
      </c>
    </row>
    <row r="16" spans="1:22" ht="11.5" customHeight="1" x14ac:dyDescent="0.35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 Ramirez</cp:lastModifiedBy>
  <cp:revision/>
  <dcterms:created xsi:type="dcterms:W3CDTF">2025-10-07T18:55:13Z</dcterms:created>
  <dcterms:modified xsi:type="dcterms:W3CDTF">2026-01-28T16:48:45Z</dcterms:modified>
  <cp:category/>
  <cp:contentStatus/>
</cp:coreProperties>
</file>