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Z:\00. Producto\Mejoras Producto\Iniciativas\mySiss Cloud\files\"/>
    </mc:Choice>
  </mc:AlternateContent>
  <xr:revisionPtr revIDLastSave="0" documentId="8_{DE73BEE9-993D-4E5C-A604-EC52CB26386D}" xr6:coauthVersionLast="47" xr6:coauthVersionMax="47" xr10:uidLastSave="{00000000-0000-0000-0000-000000000000}"/>
  <bookViews>
    <workbookView xWindow="-108" yWindow="-108" windowWidth="23256" windowHeight="12576" xr2:uid="{F3428BAD-579A-4F38-9E07-003CC873DD51}"/>
  </bookViews>
  <sheets>
    <sheet name="Repor_Servcicios" sheetId="1" r:id="rId1"/>
  </sheets>
  <definedNames>
    <definedName name="_xlnm._FilterDatabase" localSheetId="0" hidden="1">Repor_Servcicios!$A$1:$O$39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39" i="1" l="1"/>
  <c r="I39" i="1"/>
  <c r="K38" i="1"/>
  <c r="I38" i="1"/>
  <c r="K37" i="1"/>
  <c r="I37" i="1"/>
  <c r="K36" i="1"/>
  <c r="I36" i="1"/>
  <c r="K35" i="1"/>
  <c r="I35" i="1"/>
  <c r="K34" i="1"/>
  <c r="I34" i="1"/>
  <c r="K33" i="1"/>
  <c r="I33" i="1"/>
  <c r="K32" i="1"/>
  <c r="I32" i="1"/>
  <c r="K31" i="1"/>
  <c r="I31" i="1"/>
  <c r="K30" i="1"/>
  <c r="I30" i="1"/>
  <c r="K29" i="1"/>
  <c r="I29" i="1"/>
  <c r="K28" i="1"/>
  <c r="I28" i="1"/>
  <c r="K27" i="1"/>
  <c r="I27" i="1"/>
  <c r="K26" i="1"/>
  <c r="I26" i="1"/>
  <c r="K25" i="1"/>
  <c r="I25" i="1"/>
  <c r="K24" i="1"/>
  <c r="I24" i="1"/>
  <c r="K23" i="1"/>
  <c r="I23" i="1"/>
  <c r="K22" i="1"/>
  <c r="I22" i="1"/>
  <c r="K21" i="1"/>
  <c r="I21" i="1"/>
  <c r="K20" i="1"/>
  <c r="I20" i="1"/>
  <c r="K19" i="1"/>
  <c r="I19" i="1"/>
  <c r="K18" i="1"/>
  <c r="I18" i="1"/>
  <c r="K17" i="1"/>
  <c r="I17" i="1"/>
  <c r="K16" i="1"/>
  <c r="I16" i="1"/>
  <c r="K15" i="1"/>
  <c r="I15" i="1"/>
  <c r="K14" i="1"/>
  <c r="I14" i="1"/>
  <c r="K13" i="1"/>
  <c r="I13" i="1"/>
  <c r="K12" i="1"/>
  <c r="I12" i="1"/>
  <c r="K11" i="1"/>
  <c r="I11" i="1"/>
  <c r="K10" i="1"/>
  <c r="I10" i="1"/>
  <c r="K9" i="1"/>
  <c r="I9" i="1"/>
  <c r="K8" i="1"/>
  <c r="I8" i="1"/>
  <c r="K7" i="1"/>
  <c r="I7" i="1"/>
  <c r="K6" i="1"/>
  <c r="I6" i="1"/>
  <c r="K5" i="1"/>
  <c r="I5" i="1"/>
  <c r="K4" i="1"/>
  <c r="I4" i="1"/>
  <c r="K3" i="1"/>
  <c r="I3" i="1"/>
  <c r="K2" i="1"/>
  <c r="I2" i="1"/>
</calcChain>
</file>

<file path=xl/sharedStrings.xml><?xml version="1.0" encoding="utf-8"?>
<sst xmlns="http://schemas.openxmlformats.org/spreadsheetml/2006/main" count="342" uniqueCount="87">
  <si>
    <t>estado:</t>
  </si>
  <si>
    <t>orden:</t>
  </si>
  <si>
    <t>profesional:</t>
  </si>
  <si>
    <t>Contrato</t>
  </si>
  <si>
    <t>caso:</t>
  </si>
  <si>
    <t>cod_servicio:</t>
  </si>
  <si>
    <t>desc_servicio:</t>
  </si>
  <si>
    <t>fecha:</t>
  </si>
  <si>
    <t>año</t>
  </si>
  <si>
    <t>hora:</t>
  </si>
  <si>
    <t>aseguradora:</t>
  </si>
  <si>
    <t>especialidad:</t>
  </si>
  <si>
    <t>total:</t>
  </si>
  <si>
    <t>Sociedad</t>
  </si>
  <si>
    <t>Inicial</t>
  </si>
  <si>
    <t>López Mario</t>
  </si>
  <si>
    <t xml:space="preserve">CON000010	</t>
  </si>
  <si>
    <t>CONSULTA DE PRIMERA VEZ POR ESPECIALISTA EN SALUD FAMILIAR Y COMUNITARIA</t>
  </si>
  <si>
    <t>09:30 a.m.</t>
  </si>
  <si>
    <t>Coomeva EPS</t>
  </si>
  <si>
    <t>Medicina Interna</t>
  </si>
  <si>
    <t>INTERCONSULTA POR OTRAS ESPECIALIDADES MEDICAS</t>
  </si>
  <si>
    <t>Orjuela Muñoz Sofia Patricia</t>
  </si>
  <si>
    <t>CON00004</t>
  </si>
  <si>
    <t>TERAPIA FONOAUDIOLOGICA PARA PROBLEMAS EVOLUTIVOS Y ADQUIRIDOS DEL LENGUAJE ORAL Y ESCRITO</t>
  </si>
  <si>
    <t>SURA EPS</t>
  </si>
  <si>
    <t>Fonoaudiología</t>
  </si>
  <si>
    <t>Terapistas Asociados</t>
  </si>
  <si>
    <t>Comfenalco</t>
  </si>
  <si>
    <t>Ramirez Julian</t>
  </si>
  <si>
    <t>CON000027</t>
  </si>
  <si>
    <t>RADIOGRAFIA DE MASTOIDES COMPARATIVAS</t>
  </si>
  <si>
    <t>Nueva EPS</t>
  </si>
  <si>
    <t>Radiología</t>
  </si>
  <si>
    <t>Radiologos Asociados</t>
  </si>
  <si>
    <t>CON000022</t>
  </si>
  <si>
    <t>CONSULTA DE PRIMERA VEZ POR OTRAS ESPECIALIDADES MEDICAS</t>
  </si>
  <si>
    <t>CON000018</t>
  </si>
  <si>
    <t>CONSULTA DE PRIMERA VEZ POR MEDICINA GENERAL</t>
  </si>
  <si>
    <t>08:30 a.m.</t>
  </si>
  <si>
    <t>Palacio Yeny</t>
  </si>
  <si>
    <t>CON000001</t>
  </si>
  <si>
    <t>10:00 a.m.</t>
  </si>
  <si>
    <t>Cardiología</t>
  </si>
  <si>
    <t>Cardiologos Asociados</t>
  </si>
  <si>
    <t>CON000002</t>
  </si>
  <si>
    <t>DRENAJE BILIAR VIA PERCUTANEA Y COLOCACION DE DISPOSITIVO</t>
  </si>
  <si>
    <t>11:00 a.m.</t>
  </si>
  <si>
    <t xml:space="preserve">CON000012	</t>
  </si>
  <si>
    <t>ECOGRAFIA DE ABDOMEN TOTAL</t>
  </si>
  <si>
    <t>12:00 m.</t>
  </si>
  <si>
    <t>01:00 p.m.</t>
  </si>
  <si>
    <t>Reyes Camila</t>
  </si>
  <si>
    <t>CON000045</t>
  </si>
  <si>
    <t>Terapia física</t>
  </si>
  <si>
    <t>08:00 a.m.</t>
  </si>
  <si>
    <t>Fisioterapia</t>
  </si>
  <si>
    <t>Terapia ocupacional</t>
  </si>
  <si>
    <t>09:00 a.m.</t>
  </si>
  <si>
    <t>Ortega Juan</t>
  </si>
  <si>
    <t>CON000033</t>
  </si>
  <si>
    <t>TORACENTESIS DE DRENAJE O DESCOMPRESIVA</t>
  </si>
  <si>
    <t>Medicina General</t>
  </si>
  <si>
    <t>TERAPIA RESPIRATORIA INTEGRAL</t>
  </si>
  <si>
    <t>Cirugía Ambulatoria</t>
  </si>
  <si>
    <t>Anestesia center group</t>
  </si>
  <si>
    <t>02:00 p.m.</t>
  </si>
  <si>
    <t>03:00 p.m.</t>
  </si>
  <si>
    <t>04:00 p.m.</t>
  </si>
  <si>
    <t>Gómez Laura</t>
  </si>
  <si>
    <t>CON00005</t>
  </si>
  <si>
    <t>10:30 a.m.</t>
  </si>
  <si>
    <t>11:30 a.m.</t>
  </si>
  <si>
    <t>01:30 p.m.</t>
  </si>
  <si>
    <t>02:30 p.m.</t>
  </si>
  <si>
    <t>03:30 p.m.</t>
  </si>
  <si>
    <t>Liquidado</t>
  </si>
  <si>
    <t>027</t>
  </si>
  <si>
    <t>022</t>
  </si>
  <si>
    <t>Aprobado</t>
  </si>
  <si>
    <t>024</t>
  </si>
  <si>
    <t>Preliquidado</t>
  </si>
  <si>
    <t>Rechazado</t>
  </si>
  <si>
    <t>023</t>
  </si>
  <si>
    <t>021</t>
  </si>
  <si>
    <t>019</t>
  </si>
  <si>
    <t>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</si>
</sst>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&quot;$&quot;\ #,##0;[Red]\-&quot;$&quot;\ #,##0"/>
  </numFmts>
  <fonts count="3" x14ac:knownFonts="1">
    <font>
      <sz val="11"/>
      <color theme="1"/>
      <name val="Aptos Narrow"/>
      <family val="2"/>
      <scheme val="minor"/>
    </font>
    <font>
      <sz val="10"/>
      <color rgb="FF000000"/>
      <name val="Arial"/>
      <family val="2"/>
      <charset val="1"/>
    </font>
    <font>
      <sz val="1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89999084444715716"/>
        <bgColor indexed="64"/>
      </patternFill>
    </fill>
  </fills>
  <borders count="3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2" borderId="0" xfId="0" applyFill="1"/>
    <xf numFmtId="49" fontId="0" fillId="0" borderId="0" xfId="0" applyNumberFormat="1"/>
    <xf numFmtId="14" fontId="0" fillId="0" borderId="0" xfId="0" applyNumberFormat="1"/>
    <xf numFmtId="6" fontId="0" fillId="0" borderId="0" xfId="0" applyNumberFormat="1"/>
    <xf numFmtId="0" fontId="1" fillId="0" borderId="0" xfId="0" applyFont="1"/>
    <xf numFmtId="0" fontId="0" fillId="3" borderId="0" xfId="0" applyFill="1" applyAlignment="1">
      <alignment horizontal="left"/>
    </xf>
    <xf numFmtId="0" fontId="2" fillId="3" borderId="0" xfId="0" applyFont="1" applyFill="1" applyAlignment="1">
      <alignment horizontal="left"/>
    </xf>
    <xf numFmtId="0" fontId="2" fillId="4" borderId="0" xfId="0" applyFont="1" applyFill="1" applyAlignment="1">
      <alignment horizontal="left"/>
    </xf>
    <xf numFmtId="0" fontId="0" fillId="0" borderId="1" xfId="0" applyBorder="1"/>
    <xf numFmtId="0" fontId="0" fillId="0" borderId="2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CB9A2D-6E11-45CC-8DE2-4655C562B858}">
  <dimension ref="A1:O39"/>
  <sheetViews>
    <sheetView tabSelected="1" workbookViewId="0">
      <selection activeCell="G10" sqref="G10"/>
    </sheetView>
  </sheetViews>
  <sheetFormatPr baseColWidth="10" defaultRowHeight="14.4" x14ac:dyDescent="0.3"/>
  <cols>
    <col min="3" max="3" width="23.5546875" bestFit="1" customWidth="1"/>
    <col min="4" max="4" width="11.77734375" bestFit="1" customWidth="1"/>
    <col min="7" max="7" width="90.21875" bestFit="1" customWidth="1"/>
  </cols>
  <sheetData>
    <row r="1" spans="1:1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s="1" t="s">
        <v>8</v>
      </c>
      <c r="J1" s="1" t="s">
        <v>9</v>
      </c>
      <c r="K1" s="1"/>
      <c r="L1" t="s">
        <v>10</v>
      </c>
      <c r="M1" t="s">
        <v>11</v>
      </c>
      <c r="N1" t="s">
        <v>12</v>
      </c>
      <c r="O1" t="s">
        <v>13</v>
      </c>
    </row>
    <row r="2" spans="1:15" x14ac:dyDescent="0.3">
      <c r="A2" t="s">
        <v>79</v>
      </c>
      <c r="B2" s="2" t="s">
        <v>80</v>
      </c>
      <c r="C2" t="s">
        <v>15</v>
      </c>
      <c r="D2" t="s">
        <v>16</v>
      </c>
      <c r="E2">
        <v>50042</v>
      </c>
      <c r="F2">
        <v>890216</v>
      </c>
      <c r="G2" t="s">
        <v>17</v>
      </c>
      <c r="H2" s="3">
        <v>45771</v>
      </c>
      <c r="I2" s="1" t="str">
        <f t="shared" ref="I2:I8" si="0">+_xlfn.CONCAT(YEAR(H2),"-",IF(MONTH(H2)&gt;9,MONTH(H2),_xlfn.CONCAT(0,MONTH(H2))),"-",IF(DAY(H2)&gt;9,DAY(H2),_xlfn.CONCAT(0,DAY(H2))))</f>
        <v>2025-04-24</v>
      </c>
      <c r="J2" s="1" t="s">
        <v>18</v>
      </c>
      <c r="K2" s="1" t="str">
        <f t="shared" ref="K2:K8" si="1">+TEXT(J2,1)</f>
        <v>09:30 a.m.</v>
      </c>
      <c r="L2" t="s">
        <v>19</v>
      </c>
      <c r="M2" t="s">
        <v>20</v>
      </c>
      <c r="N2" s="4">
        <v>180000</v>
      </c>
    </row>
    <row r="3" spans="1:15" x14ac:dyDescent="0.3">
      <c r="A3" t="s">
        <v>79</v>
      </c>
      <c r="B3" s="2" t="s">
        <v>80</v>
      </c>
      <c r="C3" t="s">
        <v>15</v>
      </c>
      <c r="D3" t="s">
        <v>16</v>
      </c>
      <c r="E3">
        <v>50042</v>
      </c>
      <c r="F3">
        <v>890402</v>
      </c>
      <c r="G3" t="s">
        <v>21</v>
      </c>
      <c r="H3" s="3">
        <v>45771</v>
      </c>
      <c r="I3" s="1" t="str">
        <f t="shared" si="0"/>
        <v>2025-04-24</v>
      </c>
      <c r="J3" s="1" t="s">
        <v>18</v>
      </c>
      <c r="K3" s="1" t="str">
        <f t="shared" si="1"/>
        <v>09:30 a.m.</v>
      </c>
      <c r="L3" t="s">
        <v>19</v>
      </c>
      <c r="M3" t="s">
        <v>20</v>
      </c>
      <c r="N3" s="4">
        <v>180000</v>
      </c>
    </row>
    <row r="4" spans="1:15" x14ac:dyDescent="0.3">
      <c r="A4" t="s">
        <v>81</v>
      </c>
      <c r="B4" s="2" t="s">
        <v>78</v>
      </c>
      <c r="C4" t="s">
        <v>22</v>
      </c>
      <c r="D4" s="5" t="s">
        <v>23</v>
      </c>
      <c r="E4">
        <v>50043</v>
      </c>
      <c r="F4">
        <v>937101</v>
      </c>
      <c r="G4" t="s">
        <v>24</v>
      </c>
      <c r="H4" s="3">
        <v>45771</v>
      </c>
      <c r="I4" s="1" t="str">
        <f t="shared" si="0"/>
        <v>2025-04-24</v>
      </c>
      <c r="J4" s="1" t="s">
        <v>18</v>
      </c>
      <c r="K4" s="1" t="str">
        <f t="shared" si="1"/>
        <v>09:30 a.m.</v>
      </c>
      <c r="L4" t="s">
        <v>25</v>
      </c>
      <c r="M4" t="s">
        <v>26</v>
      </c>
      <c r="N4" s="4">
        <v>210000</v>
      </c>
      <c r="O4" s="6" t="s">
        <v>27</v>
      </c>
    </row>
    <row r="5" spans="1:15" x14ac:dyDescent="0.3">
      <c r="A5" t="s">
        <v>81</v>
      </c>
      <c r="B5" s="2" t="s">
        <v>78</v>
      </c>
      <c r="C5" t="s">
        <v>22</v>
      </c>
      <c r="D5" s="5" t="s">
        <v>23</v>
      </c>
      <c r="E5">
        <v>50043</v>
      </c>
      <c r="F5">
        <v>937101</v>
      </c>
      <c r="G5" t="s">
        <v>24</v>
      </c>
      <c r="H5" s="3">
        <v>45771</v>
      </c>
      <c r="I5" s="1" t="str">
        <f t="shared" si="0"/>
        <v>2025-04-24</v>
      </c>
      <c r="J5" s="1" t="s">
        <v>18</v>
      </c>
      <c r="K5" s="1" t="str">
        <f t="shared" si="1"/>
        <v>09:30 a.m.</v>
      </c>
      <c r="L5" t="s">
        <v>25</v>
      </c>
      <c r="M5" t="s">
        <v>26</v>
      </c>
      <c r="N5" s="4">
        <v>210000</v>
      </c>
      <c r="O5" s="6" t="s">
        <v>27</v>
      </c>
    </row>
    <row r="6" spans="1:15" x14ac:dyDescent="0.3">
      <c r="A6" t="s">
        <v>81</v>
      </c>
      <c r="B6" s="2" t="s">
        <v>78</v>
      </c>
      <c r="C6" t="s">
        <v>22</v>
      </c>
      <c r="D6" s="5" t="s">
        <v>23</v>
      </c>
      <c r="E6">
        <v>50044</v>
      </c>
      <c r="F6">
        <v>937101</v>
      </c>
      <c r="G6" t="s">
        <v>24</v>
      </c>
      <c r="H6" s="3">
        <v>45772</v>
      </c>
      <c r="I6" s="1" t="str">
        <f t="shared" si="0"/>
        <v>2025-04-25</v>
      </c>
      <c r="J6" s="1" t="s">
        <v>18</v>
      </c>
      <c r="K6" s="1" t="str">
        <f t="shared" si="1"/>
        <v>09:30 a.m.</v>
      </c>
      <c r="L6" t="s">
        <v>28</v>
      </c>
      <c r="M6" t="s">
        <v>26</v>
      </c>
      <c r="N6" s="4">
        <v>210000</v>
      </c>
      <c r="O6" s="6" t="s">
        <v>27</v>
      </c>
    </row>
    <row r="7" spans="1:15" x14ac:dyDescent="0.3">
      <c r="A7" t="s">
        <v>81</v>
      </c>
      <c r="B7" s="2" t="s">
        <v>78</v>
      </c>
      <c r="C7" t="s">
        <v>22</v>
      </c>
      <c r="D7" s="5" t="s">
        <v>23</v>
      </c>
      <c r="E7">
        <v>50044</v>
      </c>
      <c r="F7">
        <v>937101</v>
      </c>
      <c r="G7" t="s">
        <v>24</v>
      </c>
      <c r="H7" s="3">
        <v>45772</v>
      </c>
      <c r="I7" s="1" t="str">
        <f t="shared" si="0"/>
        <v>2025-04-25</v>
      </c>
      <c r="J7" s="1" t="s">
        <v>18</v>
      </c>
      <c r="K7" s="1" t="str">
        <f t="shared" si="1"/>
        <v>09:30 a.m.</v>
      </c>
      <c r="L7" t="s">
        <v>28</v>
      </c>
      <c r="M7" t="s">
        <v>26</v>
      </c>
      <c r="N7" s="4">
        <v>210000</v>
      </c>
      <c r="O7" s="6" t="s">
        <v>27</v>
      </c>
    </row>
    <row r="8" spans="1:15" x14ac:dyDescent="0.3">
      <c r="A8" t="s">
        <v>76</v>
      </c>
      <c r="B8" s="2" t="s">
        <v>77</v>
      </c>
      <c r="C8" t="s">
        <v>29</v>
      </c>
      <c r="D8" s="5" t="s">
        <v>30</v>
      </c>
      <c r="E8">
        <v>50045</v>
      </c>
      <c r="F8">
        <v>870005</v>
      </c>
      <c r="G8" t="s">
        <v>31</v>
      </c>
      <c r="H8" s="3">
        <v>45773</v>
      </c>
      <c r="I8" s="1" t="str">
        <f t="shared" si="0"/>
        <v>2025-04-26</v>
      </c>
      <c r="J8" s="1" t="s">
        <v>18</v>
      </c>
      <c r="K8" s="1" t="str">
        <f t="shared" si="1"/>
        <v>09:30 a.m.</v>
      </c>
      <c r="L8" t="s">
        <v>32</v>
      </c>
      <c r="M8" t="s">
        <v>33</v>
      </c>
      <c r="N8" s="4">
        <v>270000</v>
      </c>
      <c r="O8" s="7" t="s">
        <v>34</v>
      </c>
    </row>
    <row r="9" spans="1:15" x14ac:dyDescent="0.3">
      <c r="A9" t="s">
        <v>76</v>
      </c>
      <c r="B9" s="2" t="s">
        <v>77</v>
      </c>
      <c r="C9" t="s">
        <v>29</v>
      </c>
      <c r="D9" s="5" t="s">
        <v>35</v>
      </c>
      <c r="E9">
        <v>50008</v>
      </c>
      <c r="F9">
        <v>890202</v>
      </c>
      <c r="G9" t="s">
        <v>36</v>
      </c>
      <c r="H9" s="3">
        <v>45753</v>
      </c>
      <c r="I9" s="1" t="str">
        <f>+_xlfn.CONCAT(YEAR(H9),"-",IF(MONTH(H9)&gt;9,MONTH(H9),_xlfn.CONCAT(0,MONTH(H9))),"-",IF(DAY(H9)&gt;9,DAY(H9),_xlfn.CONCAT(0,DAY(H9))))</f>
        <v>2025-04-06</v>
      </c>
      <c r="J9" s="1" t="s">
        <v>18</v>
      </c>
      <c r="K9" s="1" t="str">
        <f>+TEXT(J9,1)</f>
        <v>09:30 a.m.</v>
      </c>
      <c r="L9" t="s">
        <v>32</v>
      </c>
      <c r="M9" t="s">
        <v>20</v>
      </c>
      <c r="N9" s="4">
        <v>180000</v>
      </c>
    </row>
    <row r="10" spans="1:15" x14ac:dyDescent="0.3">
      <c r="A10" t="s">
        <v>76</v>
      </c>
      <c r="B10" s="2" t="s">
        <v>77</v>
      </c>
      <c r="C10" t="s">
        <v>29</v>
      </c>
      <c r="D10" s="5" t="s">
        <v>37</v>
      </c>
      <c r="E10">
        <v>50009</v>
      </c>
      <c r="F10">
        <v>890201</v>
      </c>
      <c r="G10" t="s">
        <v>38</v>
      </c>
      <c r="H10" s="3">
        <v>45754</v>
      </c>
      <c r="I10" s="1" t="str">
        <f t="shared" ref="I10:I39" si="2">+_xlfn.CONCAT(YEAR(H10),"-",IF(MONTH(H10)&gt;9,MONTH(H10),_xlfn.CONCAT(0,MONTH(H10))),"-",IF(DAY(H10)&gt;9,DAY(H10),_xlfn.CONCAT(0,DAY(H10))))</f>
        <v>2025-04-07</v>
      </c>
      <c r="J10" s="1" t="s">
        <v>39</v>
      </c>
      <c r="K10" s="1" t="str">
        <f t="shared" ref="K10:K39" si="3">+TEXT(J10,1)</f>
        <v>08:30 a.m.</v>
      </c>
      <c r="L10" t="s">
        <v>32</v>
      </c>
      <c r="M10" t="s">
        <v>20</v>
      </c>
      <c r="N10" s="4">
        <v>200000</v>
      </c>
    </row>
    <row r="11" spans="1:15" x14ac:dyDescent="0.3">
      <c r="A11" t="s">
        <v>81</v>
      </c>
      <c r="B11" s="2" t="s">
        <v>84</v>
      </c>
      <c r="C11" t="s">
        <v>40</v>
      </c>
      <c r="D11" t="s">
        <v>41</v>
      </c>
      <c r="E11">
        <v>50012</v>
      </c>
      <c r="F11">
        <v>890202</v>
      </c>
      <c r="G11" t="s">
        <v>36</v>
      </c>
      <c r="H11" s="3">
        <v>45756</v>
      </c>
      <c r="I11" s="1" t="str">
        <f t="shared" si="2"/>
        <v>2025-04-09</v>
      </c>
      <c r="J11" s="1" t="s">
        <v>42</v>
      </c>
      <c r="K11" s="1" t="str">
        <f t="shared" si="3"/>
        <v>10:00 a.m.</v>
      </c>
      <c r="L11" t="s">
        <v>25</v>
      </c>
      <c r="M11" t="s">
        <v>43</v>
      </c>
      <c r="N11" s="4">
        <v>220000</v>
      </c>
      <c r="O11" s="8" t="s">
        <v>44</v>
      </c>
    </row>
    <row r="12" spans="1:15" x14ac:dyDescent="0.3">
      <c r="A12" t="s">
        <v>81</v>
      </c>
      <c r="B12" s="2" t="s">
        <v>84</v>
      </c>
      <c r="C12" t="s">
        <v>40</v>
      </c>
      <c r="D12" t="s">
        <v>45</v>
      </c>
      <c r="E12">
        <v>50013</v>
      </c>
      <c r="F12">
        <v>510301</v>
      </c>
      <c r="G12" t="s">
        <v>46</v>
      </c>
      <c r="H12" s="3">
        <v>45757</v>
      </c>
      <c r="I12" s="1" t="str">
        <f t="shared" si="2"/>
        <v>2025-04-10</v>
      </c>
      <c r="J12" s="1" t="s">
        <v>47</v>
      </c>
      <c r="K12" s="1" t="str">
        <f t="shared" si="3"/>
        <v>11:00 a.m.</v>
      </c>
      <c r="L12" t="s">
        <v>25</v>
      </c>
      <c r="M12" t="s">
        <v>43</v>
      </c>
      <c r="N12" s="4">
        <v>350000</v>
      </c>
      <c r="O12" s="8" t="s">
        <v>44</v>
      </c>
    </row>
    <row r="13" spans="1:15" x14ac:dyDescent="0.3">
      <c r="A13" t="s">
        <v>79</v>
      </c>
      <c r="B13" s="2" t="s">
        <v>80</v>
      </c>
      <c r="C13" t="s">
        <v>15</v>
      </c>
      <c r="D13" t="s">
        <v>48</v>
      </c>
      <c r="E13">
        <v>50014</v>
      </c>
      <c r="F13">
        <v>881302</v>
      </c>
      <c r="G13" t="s">
        <v>49</v>
      </c>
      <c r="H13" s="3">
        <v>45758</v>
      </c>
      <c r="I13" s="1" t="str">
        <f t="shared" si="2"/>
        <v>2025-04-11</v>
      </c>
      <c r="J13" s="1" t="s">
        <v>50</v>
      </c>
      <c r="K13" s="1" t="str">
        <f t="shared" si="3"/>
        <v>12:00 m.</v>
      </c>
      <c r="L13" t="s">
        <v>19</v>
      </c>
      <c r="M13" t="s">
        <v>33</v>
      </c>
      <c r="N13" s="4">
        <v>300000</v>
      </c>
      <c r="O13" s="7" t="s">
        <v>34</v>
      </c>
    </row>
    <row r="14" spans="1:15" x14ac:dyDescent="0.3">
      <c r="A14" t="s">
        <v>79</v>
      </c>
      <c r="B14" s="2" t="s">
        <v>80</v>
      </c>
      <c r="C14" t="s">
        <v>15</v>
      </c>
      <c r="D14" t="s">
        <v>48</v>
      </c>
      <c r="E14">
        <v>50015</v>
      </c>
      <c r="F14">
        <v>870005</v>
      </c>
      <c r="G14" t="s">
        <v>31</v>
      </c>
      <c r="H14" s="3">
        <v>45759</v>
      </c>
      <c r="I14" s="1" t="str">
        <f t="shared" si="2"/>
        <v>2025-04-12</v>
      </c>
      <c r="J14" s="1" t="s">
        <v>51</v>
      </c>
      <c r="K14" s="1" t="str">
        <f t="shared" si="3"/>
        <v>01:00 p.m.</v>
      </c>
      <c r="L14" t="s">
        <v>19</v>
      </c>
      <c r="M14" t="s">
        <v>33</v>
      </c>
      <c r="N14" s="4">
        <v>250000</v>
      </c>
      <c r="O14" s="7" t="s">
        <v>34</v>
      </c>
    </row>
    <row r="15" spans="1:15" x14ac:dyDescent="0.3">
      <c r="A15" t="s">
        <v>76</v>
      </c>
      <c r="B15" s="2" t="s">
        <v>85</v>
      </c>
      <c r="C15" t="s">
        <v>52</v>
      </c>
      <c r="D15" t="s">
        <v>53</v>
      </c>
      <c r="E15">
        <v>50016</v>
      </c>
      <c r="F15">
        <v>890207</v>
      </c>
      <c r="G15" t="s">
        <v>54</v>
      </c>
      <c r="H15" s="3">
        <v>45760</v>
      </c>
      <c r="I15" s="1" t="str">
        <f t="shared" si="2"/>
        <v>2025-04-13</v>
      </c>
      <c r="J15" s="1" t="s">
        <v>55</v>
      </c>
      <c r="K15" s="1" t="str">
        <f t="shared" si="3"/>
        <v>08:00 a.m.</v>
      </c>
      <c r="L15" t="s">
        <v>25</v>
      </c>
      <c r="M15" t="s">
        <v>56</v>
      </c>
      <c r="N15" s="4">
        <v>180000</v>
      </c>
      <c r="O15" s="6" t="s">
        <v>27</v>
      </c>
    </row>
    <row r="16" spans="1:15" x14ac:dyDescent="0.3">
      <c r="A16" t="s">
        <v>76</v>
      </c>
      <c r="B16" s="2" t="s">
        <v>85</v>
      </c>
      <c r="C16" t="s">
        <v>52</v>
      </c>
      <c r="D16" t="s">
        <v>53</v>
      </c>
      <c r="E16">
        <v>50017</v>
      </c>
      <c r="F16">
        <v>890208</v>
      </c>
      <c r="G16" t="s">
        <v>57</v>
      </c>
      <c r="H16" s="3">
        <v>45761</v>
      </c>
      <c r="I16" s="1" t="str">
        <f t="shared" si="2"/>
        <v>2025-04-14</v>
      </c>
      <c r="J16" s="1" t="s">
        <v>58</v>
      </c>
      <c r="K16" s="1" t="str">
        <f t="shared" si="3"/>
        <v>09:00 a.m.</v>
      </c>
      <c r="L16" t="s">
        <v>25</v>
      </c>
      <c r="M16" t="s">
        <v>56</v>
      </c>
      <c r="N16" s="4">
        <v>190000</v>
      </c>
      <c r="O16" s="6" t="s">
        <v>27</v>
      </c>
    </row>
    <row r="17" spans="1:15" x14ac:dyDescent="0.3">
      <c r="A17" t="s">
        <v>81</v>
      </c>
      <c r="B17" s="2" t="s">
        <v>83</v>
      </c>
      <c r="C17" t="s">
        <v>59</v>
      </c>
      <c r="D17" t="s">
        <v>60</v>
      </c>
      <c r="E17">
        <v>50018</v>
      </c>
      <c r="F17" s="9">
        <v>890201</v>
      </c>
      <c r="G17" s="10" t="s">
        <v>38</v>
      </c>
      <c r="H17" s="3">
        <v>45762</v>
      </c>
      <c r="I17" s="1" t="str">
        <f t="shared" si="2"/>
        <v>2025-04-15</v>
      </c>
      <c r="J17" s="1" t="s">
        <v>42</v>
      </c>
      <c r="K17" s="1" t="str">
        <f t="shared" si="3"/>
        <v>10:00 a.m.</v>
      </c>
      <c r="L17" t="s">
        <v>32</v>
      </c>
      <c r="M17" t="s">
        <v>20</v>
      </c>
      <c r="N17" s="4">
        <v>180000</v>
      </c>
    </row>
    <row r="18" spans="1:15" x14ac:dyDescent="0.3">
      <c r="A18" t="s">
        <v>81</v>
      </c>
      <c r="B18" s="2" t="s">
        <v>83</v>
      </c>
      <c r="C18" t="s">
        <v>59</v>
      </c>
      <c r="D18" t="s">
        <v>60</v>
      </c>
      <c r="E18">
        <v>50019</v>
      </c>
      <c r="F18">
        <v>345002</v>
      </c>
      <c r="G18" t="s">
        <v>61</v>
      </c>
      <c r="H18" s="3">
        <v>45763</v>
      </c>
      <c r="I18" s="1" t="str">
        <f t="shared" si="2"/>
        <v>2025-04-16</v>
      </c>
      <c r="J18" s="1" t="s">
        <v>47</v>
      </c>
      <c r="K18" s="1" t="str">
        <f t="shared" si="3"/>
        <v>11:00 a.m.</v>
      </c>
      <c r="L18" t="s">
        <v>19</v>
      </c>
      <c r="M18" t="s">
        <v>20</v>
      </c>
      <c r="N18" s="4">
        <v>100000</v>
      </c>
    </row>
    <row r="19" spans="1:15" x14ac:dyDescent="0.3">
      <c r="A19" t="s">
        <v>81</v>
      </c>
      <c r="B19" s="2" t="s">
        <v>86</v>
      </c>
      <c r="C19" t="s">
        <v>22</v>
      </c>
      <c r="D19" s="5" t="s">
        <v>23</v>
      </c>
      <c r="E19">
        <v>50020</v>
      </c>
      <c r="F19">
        <v>890201</v>
      </c>
      <c r="G19" t="s">
        <v>38</v>
      </c>
      <c r="H19" s="3">
        <v>45764</v>
      </c>
      <c r="I19" s="1" t="str">
        <f t="shared" si="2"/>
        <v>2025-04-17</v>
      </c>
      <c r="J19" s="1" t="s">
        <v>39</v>
      </c>
      <c r="K19" s="1" t="str">
        <f t="shared" si="3"/>
        <v>08:30 a.m.</v>
      </c>
      <c r="L19" t="s">
        <v>32</v>
      </c>
      <c r="M19" t="s">
        <v>62</v>
      </c>
      <c r="N19" s="4">
        <v>190000</v>
      </c>
    </row>
    <row r="20" spans="1:15" x14ac:dyDescent="0.3">
      <c r="A20" t="s">
        <v>82</v>
      </c>
      <c r="B20" s="2" t="s">
        <v>86</v>
      </c>
      <c r="C20" t="s">
        <v>22</v>
      </c>
      <c r="D20" s="5" t="s">
        <v>23</v>
      </c>
      <c r="E20">
        <v>50021</v>
      </c>
      <c r="F20">
        <v>937101</v>
      </c>
      <c r="G20" t="s">
        <v>24</v>
      </c>
      <c r="H20" s="3">
        <v>45765</v>
      </c>
      <c r="I20" s="1" t="str">
        <f t="shared" si="2"/>
        <v>2025-04-18</v>
      </c>
      <c r="J20" s="1" t="s">
        <v>58</v>
      </c>
      <c r="K20" s="1" t="str">
        <f t="shared" si="3"/>
        <v>09:00 a.m.</v>
      </c>
      <c r="L20" t="s">
        <v>25</v>
      </c>
      <c r="M20" t="s">
        <v>26</v>
      </c>
      <c r="N20" s="4">
        <v>210000</v>
      </c>
      <c r="O20" s="6" t="s">
        <v>27</v>
      </c>
    </row>
    <row r="21" spans="1:15" x14ac:dyDescent="0.3">
      <c r="A21" t="s">
        <v>81</v>
      </c>
      <c r="B21" s="2" t="s">
        <v>84</v>
      </c>
      <c r="C21" t="s">
        <v>40</v>
      </c>
      <c r="D21" t="s">
        <v>41</v>
      </c>
      <c r="E21">
        <v>50022</v>
      </c>
      <c r="F21">
        <v>890201</v>
      </c>
      <c r="G21" t="s">
        <v>38</v>
      </c>
      <c r="H21" s="3">
        <v>45766</v>
      </c>
      <c r="I21" s="1" t="str">
        <f t="shared" si="2"/>
        <v>2025-04-19</v>
      </c>
      <c r="J21" s="1" t="s">
        <v>42</v>
      </c>
      <c r="K21" s="1" t="str">
        <f t="shared" si="3"/>
        <v>10:00 a.m.</v>
      </c>
      <c r="L21" t="s">
        <v>28</v>
      </c>
      <c r="M21" t="s">
        <v>20</v>
      </c>
      <c r="N21" s="4">
        <v>150000</v>
      </c>
    </row>
    <row r="22" spans="1:15" x14ac:dyDescent="0.3">
      <c r="A22" t="s">
        <v>81</v>
      </c>
      <c r="B22" s="2" t="s">
        <v>84</v>
      </c>
      <c r="C22" t="s">
        <v>40</v>
      </c>
      <c r="D22" t="s">
        <v>45</v>
      </c>
      <c r="E22">
        <v>50023</v>
      </c>
      <c r="F22">
        <v>939403</v>
      </c>
      <c r="G22" t="s">
        <v>63</v>
      </c>
      <c r="H22" s="3">
        <v>45767</v>
      </c>
      <c r="I22" s="1" t="str">
        <f t="shared" si="2"/>
        <v>2025-04-20</v>
      </c>
      <c r="J22" s="1" t="s">
        <v>47</v>
      </c>
      <c r="K22" s="1" t="str">
        <f t="shared" si="3"/>
        <v>11:00 a.m.</v>
      </c>
      <c r="L22" t="s">
        <v>19</v>
      </c>
      <c r="M22" t="s">
        <v>56</v>
      </c>
      <c r="N22" s="4">
        <v>200000</v>
      </c>
      <c r="O22" s="6" t="s">
        <v>27</v>
      </c>
    </row>
    <row r="23" spans="1:15" x14ac:dyDescent="0.3">
      <c r="A23" t="s">
        <v>79</v>
      </c>
      <c r="B23" s="2" t="s">
        <v>80</v>
      </c>
      <c r="C23" t="s">
        <v>15</v>
      </c>
      <c r="D23" t="s">
        <v>16</v>
      </c>
      <c r="E23">
        <v>50024</v>
      </c>
      <c r="F23">
        <v>890202</v>
      </c>
      <c r="G23" t="s">
        <v>36</v>
      </c>
      <c r="H23" s="3">
        <v>45768</v>
      </c>
      <c r="I23" s="1" t="str">
        <f t="shared" si="2"/>
        <v>2025-04-21</v>
      </c>
      <c r="J23" s="1" t="s">
        <v>50</v>
      </c>
      <c r="K23" s="1" t="str">
        <f t="shared" si="3"/>
        <v>12:00 m.</v>
      </c>
      <c r="L23" t="s">
        <v>25</v>
      </c>
      <c r="M23" t="s">
        <v>43</v>
      </c>
      <c r="N23" s="4">
        <v>220000</v>
      </c>
      <c r="O23" s="8" t="s">
        <v>44</v>
      </c>
    </row>
    <row r="24" spans="1:15" x14ac:dyDescent="0.3">
      <c r="A24" t="s">
        <v>79</v>
      </c>
      <c r="B24" s="2" t="s">
        <v>80</v>
      </c>
      <c r="C24" t="s">
        <v>15</v>
      </c>
      <c r="D24" t="s">
        <v>16</v>
      </c>
      <c r="E24">
        <v>50025</v>
      </c>
      <c r="F24">
        <v>890402</v>
      </c>
      <c r="G24" t="s">
        <v>21</v>
      </c>
      <c r="H24" s="3">
        <v>45769</v>
      </c>
      <c r="I24" s="1" t="str">
        <f t="shared" si="2"/>
        <v>2025-04-22</v>
      </c>
      <c r="J24" s="1" t="s">
        <v>51</v>
      </c>
      <c r="K24" s="1" t="str">
        <f t="shared" si="3"/>
        <v>01:00 p.m.</v>
      </c>
      <c r="L24" t="s">
        <v>32</v>
      </c>
      <c r="M24" t="s">
        <v>20</v>
      </c>
      <c r="N24" s="4">
        <v>180000</v>
      </c>
    </row>
    <row r="25" spans="1:15" x14ac:dyDescent="0.3">
      <c r="A25" t="s">
        <v>76</v>
      </c>
      <c r="B25" s="2" t="s">
        <v>85</v>
      </c>
      <c r="C25" t="s">
        <v>52</v>
      </c>
      <c r="D25" t="s">
        <v>53</v>
      </c>
      <c r="E25">
        <v>50026</v>
      </c>
      <c r="F25">
        <v>890216</v>
      </c>
      <c r="G25" t="s">
        <v>54</v>
      </c>
      <c r="H25" s="3">
        <v>45770</v>
      </c>
      <c r="I25" s="1" t="str">
        <f t="shared" si="2"/>
        <v>2025-04-23</v>
      </c>
      <c r="J25" s="1" t="s">
        <v>55</v>
      </c>
      <c r="K25" s="1" t="str">
        <f t="shared" si="3"/>
        <v>08:00 a.m.</v>
      </c>
      <c r="L25" t="s">
        <v>25</v>
      </c>
      <c r="M25" t="s">
        <v>56</v>
      </c>
      <c r="N25" s="4">
        <v>200000</v>
      </c>
      <c r="O25" s="6" t="s">
        <v>27</v>
      </c>
    </row>
    <row r="26" spans="1:15" x14ac:dyDescent="0.3">
      <c r="A26" t="s">
        <v>76</v>
      </c>
      <c r="B26" s="2" t="s">
        <v>85</v>
      </c>
      <c r="C26" t="s">
        <v>52</v>
      </c>
      <c r="D26" t="s">
        <v>53</v>
      </c>
      <c r="E26">
        <v>50027</v>
      </c>
      <c r="F26">
        <v>890217</v>
      </c>
      <c r="G26" t="s">
        <v>57</v>
      </c>
      <c r="H26" s="3">
        <v>45770</v>
      </c>
      <c r="I26" s="1" t="str">
        <f t="shared" si="2"/>
        <v>2025-04-23</v>
      </c>
      <c r="J26" s="1" t="s">
        <v>58</v>
      </c>
      <c r="K26" s="1" t="str">
        <f t="shared" si="3"/>
        <v>09:00 a.m.</v>
      </c>
      <c r="L26" t="s">
        <v>25</v>
      </c>
      <c r="M26" t="s">
        <v>56</v>
      </c>
      <c r="N26" s="4">
        <v>190000</v>
      </c>
      <c r="O26" s="6" t="s">
        <v>27</v>
      </c>
    </row>
    <row r="27" spans="1:15" x14ac:dyDescent="0.3">
      <c r="A27" t="s">
        <v>76</v>
      </c>
      <c r="B27" s="2" t="s">
        <v>77</v>
      </c>
      <c r="C27" t="s">
        <v>29</v>
      </c>
      <c r="D27" s="5" t="s">
        <v>35</v>
      </c>
      <c r="E27">
        <v>50028</v>
      </c>
      <c r="F27">
        <v>890202</v>
      </c>
      <c r="G27" t="s">
        <v>36</v>
      </c>
      <c r="H27" s="3">
        <v>45770</v>
      </c>
      <c r="I27" s="1" t="str">
        <f t="shared" si="2"/>
        <v>2025-04-23</v>
      </c>
      <c r="J27" s="1" t="s">
        <v>42</v>
      </c>
      <c r="K27" s="1" t="str">
        <f t="shared" si="3"/>
        <v>10:00 a.m.</v>
      </c>
      <c r="L27" t="s">
        <v>32</v>
      </c>
      <c r="M27" t="s">
        <v>20</v>
      </c>
      <c r="N27" s="4">
        <v>180000</v>
      </c>
    </row>
    <row r="28" spans="1:15" x14ac:dyDescent="0.3">
      <c r="A28" t="s">
        <v>76</v>
      </c>
      <c r="B28" s="2" t="s">
        <v>77</v>
      </c>
      <c r="C28" t="s">
        <v>29</v>
      </c>
      <c r="D28" s="5" t="s">
        <v>30</v>
      </c>
      <c r="E28">
        <v>50029</v>
      </c>
      <c r="F28">
        <v>870005</v>
      </c>
      <c r="G28" t="s">
        <v>31</v>
      </c>
      <c r="H28" s="3">
        <v>45770</v>
      </c>
      <c r="I28" s="1" t="str">
        <f t="shared" si="2"/>
        <v>2025-04-23</v>
      </c>
      <c r="J28" s="1" t="s">
        <v>47</v>
      </c>
      <c r="K28" s="1" t="str">
        <f t="shared" si="3"/>
        <v>11:00 a.m.</v>
      </c>
      <c r="L28" t="s">
        <v>19</v>
      </c>
      <c r="M28" t="s">
        <v>33</v>
      </c>
      <c r="N28" s="4">
        <v>270000</v>
      </c>
      <c r="O28" s="7" t="s">
        <v>34</v>
      </c>
    </row>
    <row r="29" spans="1:15" x14ac:dyDescent="0.3">
      <c r="A29" t="s">
        <v>81</v>
      </c>
      <c r="B29" s="2" t="s">
        <v>84</v>
      </c>
      <c r="C29" t="s">
        <v>40</v>
      </c>
      <c r="D29" t="s">
        <v>45</v>
      </c>
      <c r="E29">
        <v>50030</v>
      </c>
      <c r="F29">
        <v>510301</v>
      </c>
      <c r="G29" t="s">
        <v>46</v>
      </c>
      <c r="H29" s="3">
        <v>45770</v>
      </c>
      <c r="I29" s="1" t="str">
        <f t="shared" si="2"/>
        <v>2025-04-23</v>
      </c>
      <c r="J29" s="1" t="s">
        <v>51</v>
      </c>
      <c r="K29" s="1" t="str">
        <f t="shared" si="3"/>
        <v>01:00 p.m.</v>
      </c>
      <c r="L29" t="s">
        <v>25</v>
      </c>
      <c r="M29" t="s">
        <v>64</v>
      </c>
      <c r="N29" s="4">
        <v>400000</v>
      </c>
      <c r="O29" s="6" t="s">
        <v>65</v>
      </c>
    </row>
    <row r="30" spans="1:15" x14ac:dyDescent="0.3">
      <c r="A30" t="s">
        <v>81</v>
      </c>
      <c r="B30" s="2" t="s">
        <v>84</v>
      </c>
      <c r="C30" t="s">
        <v>40</v>
      </c>
      <c r="D30" t="s">
        <v>41</v>
      </c>
      <c r="E30">
        <v>50031</v>
      </c>
      <c r="F30">
        <v>890202</v>
      </c>
      <c r="G30" t="s">
        <v>36</v>
      </c>
      <c r="H30" s="3">
        <v>45770</v>
      </c>
      <c r="I30" s="1" t="str">
        <f t="shared" si="2"/>
        <v>2025-04-23</v>
      </c>
      <c r="J30" s="1" t="s">
        <v>66</v>
      </c>
      <c r="K30" s="1" t="str">
        <f t="shared" si="3"/>
        <v>02:00 p.m.</v>
      </c>
      <c r="L30" t="s">
        <v>19</v>
      </c>
      <c r="M30" t="s">
        <v>43</v>
      </c>
      <c r="N30" s="4">
        <v>220000</v>
      </c>
      <c r="O30" s="8" t="s">
        <v>44</v>
      </c>
    </row>
    <row r="31" spans="1:15" x14ac:dyDescent="0.3">
      <c r="A31" t="s">
        <v>81</v>
      </c>
      <c r="B31" s="2" t="s">
        <v>83</v>
      </c>
      <c r="C31" t="s">
        <v>59</v>
      </c>
      <c r="D31" t="s">
        <v>60</v>
      </c>
      <c r="E31">
        <v>50032</v>
      </c>
      <c r="F31">
        <v>345002</v>
      </c>
      <c r="G31" t="s">
        <v>61</v>
      </c>
      <c r="H31" s="3">
        <v>45770</v>
      </c>
      <c r="I31" s="1" t="str">
        <f t="shared" si="2"/>
        <v>2025-04-23</v>
      </c>
      <c r="J31" s="1" t="s">
        <v>67</v>
      </c>
      <c r="K31" s="1" t="str">
        <f t="shared" si="3"/>
        <v>03:00 p.m.</v>
      </c>
      <c r="L31" t="s">
        <v>32</v>
      </c>
      <c r="M31" t="s">
        <v>20</v>
      </c>
      <c r="N31" s="4">
        <v>110000</v>
      </c>
    </row>
    <row r="32" spans="1:15" x14ac:dyDescent="0.3">
      <c r="A32" t="s">
        <v>81</v>
      </c>
      <c r="B32" s="2" t="s">
        <v>83</v>
      </c>
      <c r="C32" t="s">
        <v>59</v>
      </c>
      <c r="D32" t="s">
        <v>60</v>
      </c>
      <c r="E32">
        <v>50033</v>
      </c>
      <c r="F32" s="9">
        <v>890201</v>
      </c>
      <c r="G32" s="10" t="s">
        <v>38</v>
      </c>
      <c r="H32" s="3">
        <v>45770</v>
      </c>
      <c r="I32" s="1" t="str">
        <f t="shared" si="2"/>
        <v>2025-04-23</v>
      </c>
      <c r="J32" s="1" t="s">
        <v>68</v>
      </c>
      <c r="K32" s="1" t="str">
        <f t="shared" si="3"/>
        <v>04:00 p.m.</v>
      </c>
      <c r="L32" t="s">
        <v>32</v>
      </c>
      <c r="M32" t="s">
        <v>62</v>
      </c>
      <c r="N32" s="4">
        <v>180000</v>
      </c>
    </row>
    <row r="33" spans="1:15" x14ac:dyDescent="0.3">
      <c r="A33" t="s">
        <v>82</v>
      </c>
      <c r="B33" s="2" t="s">
        <v>86</v>
      </c>
      <c r="C33" t="s">
        <v>22</v>
      </c>
      <c r="D33" s="5" t="s">
        <v>23</v>
      </c>
      <c r="E33">
        <v>50034</v>
      </c>
      <c r="F33">
        <v>937101</v>
      </c>
      <c r="G33" t="s">
        <v>24</v>
      </c>
      <c r="H33" s="3">
        <v>45770</v>
      </c>
      <c r="I33" s="1" t="str">
        <f t="shared" si="2"/>
        <v>2025-04-23</v>
      </c>
      <c r="J33" s="1" t="s">
        <v>39</v>
      </c>
      <c r="K33" s="1" t="str">
        <f t="shared" si="3"/>
        <v>08:30 a.m.</v>
      </c>
      <c r="L33" t="s">
        <v>25</v>
      </c>
      <c r="M33" t="s">
        <v>26</v>
      </c>
      <c r="N33" s="4">
        <v>210000</v>
      </c>
      <c r="O33" s="6" t="s">
        <v>27</v>
      </c>
    </row>
    <row r="34" spans="1:15" x14ac:dyDescent="0.3">
      <c r="A34" t="s">
        <v>14</v>
      </c>
      <c r="B34" s="2" t="s">
        <v>80</v>
      </c>
      <c r="C34" t="s">
        <v>69</v>
      </c>
      <c r="D34" t="s">
        <v>70</v>
      </c>
      <c r="E34">
        <v>50035</v>
      </c>
      <c r="F34">
        <v>939403</v>
      </c>
      <c r="G34" t="s">
        <v>63</v>
      </c>
      <c r="H34" s="3">
        <v>45770</v>
      </c>
      <c r="I34" s="1" t="str">
        <f t="shared" si="2"/>
        <v>2025-04-23</v>
      </c>
      <c r="J34" s="1" t="s">
        <v>18</v>
      </c>
      <c r="K34" s="1" t="str">
        <f t="shared" si="3"/>
        <v>09:30 a.m.</v>
      </c>
      <c r="L34" t="s">
        <v>19</v>
      </c>
      <c r="M34" t="s">
        <v>56</v>
      </c>
      <c r="N34" s="4">
        <v>120000</v>
      </c>
      <c r="O34" s="6" t="s">
        <v>27</v>
      </c>
    </row>
    <row r="35" spans="1:15" x14ac:dyDescent="0.3">
      <c r="A35" t="s">
        <v>79</v>
      </c>
      <c r="C35" t="s">
        <v>15</v>
      </c>
      <c r="D35" t="s">
        <v>16</v>
      </c>
      <c r="E35">
        <v>50036</v>
      </c>
      <c r="F35">
        <v>890402</v>
      </c>
      <c r="G35" t="s">
        <v>21</v>
      </c>
      <c r="H35" s="3">
        <v>45770</v>
      </c>
      <c r="I35" s="1" t="str">
        <f t="shared" si="2"/>
        <v>2025-04-23</v>
      </c>
      <c r="J35" s="1" t="s">
        <v>71</v>
      </c>
      <c r="K35" s="1" t="str">
        <f t="shared" si="3"/>
        <v>10:30 a.m.</v>
      </c>
      <c r="L35" t="s">
        <v>32</v>
      </c>
      <c r="M35" t="s">
        <v>20</v>
      </c>
      <c r="N35" s="4">
        <v>180000</v>
      </c>
    </row>
    <row r="36" spans="1:15" x14ac:dyDescent="0.3">
      <c r="A36" t="s">
        <v>79</v>
      </c>
      <c r="B36" s="2" t="s">
        <v>80</v>
      </c>
      <c r="C36" t="s">
        <v>15</v>
      </c>
      <c r="D36" t="s">
        <v>48</v>
      </c>
      <c r="E36">
        <v>50037</v>
      </c>
      <c r="F36">
        <v>881302</v>
      </c>
      <c r="G36" t="s">
        <v>49</v>
      </c>
      <c r="H36" s="3">
        <v>45770</v>
      </c>
      <c r="I36" s="1" t="str">
        <f t="shared" si="2"/>
        <v>2025-04-23</v>
      </c>
      <c r="J36" s="1" t="s">
        <v>72</v>
      </c>
      <c r="K36" s="1" t="str">
        <f t="shared" si="3"/>
        <v>11:30 a.m.</v>
      </c>
      <c r="L36" t="s">
        <v>25</v>
      </c>
      <c r="M36" t="s">
        <v>33</v>
      </c>
      <c r="N36" s="4">
        <v>320000</v>
      </c>
      <c r="O36" s="7" t="s">
        <v>34</v>
      </c>
    </row>
    <row r="37" spans="1:15" x14ac:dyDescent="0.3">
      <c r="A37" t="s">
        <v>76</v>
      </c>
      <c r="B37" s="2" t="s">
        <v>85</v>
      </c>
      <c r="C37" t="s">
        <v>52</v>
      </c>
      <c r="D37" t="s">
        <v>53</v>
      </c>
      <c r="E37">
        <v>50038</v>
      </c>
      <c r="F37">
        <v>890228</v>
      </c>
      <c r="G37" t="s">
        <v>54</v>
      </c>
      <c r="H37" s="3">
        <v>45770</v>
      </c>
      <c r="I37" s="1" t="str">
        <f t="shared" si="2"/>
        <v>2025-04-23</v>
      </c>
      <c r="J37" s="1" t="s">
        <v>73</v>
      </c>
      <c r="K37" s="1" t="str">
        <f t="shared" si="3"/>
        <v>01:30 p.m.</v>
      </c>
      <c r="L37" t="s">
        <v>19</v>
      </c>
      <c r="M37" t="s">
        <v>56</v>
      </c>
      <c r="N37" s="4">
        <v>190000</v>
      </c>
      <c r="O37" s="6" t="s">
        <v>27</v>
      </c>
    </row>
    <row r="38" spans="1:15" x14ac:dyDescent="0.3">
      <c r="A38" t="s">
        <v>76</v>
      </c>
      <c r="B38" s="2" t="s">
        <v>85</v>
      </c>
      <c r="C38" t="s">
        <v>52</v>
      </c>
      <c r="D38" t="s">
        <v>53</v>
      </c>
      <c r="E38">
        <v>50039</v>
      </c>
      <c r="F38">
        <v>890229</v>
      </c>
      <c r="G38" t="s">
        <v>57</v>
      </c>
      <c r="H38" s="3">
        <v>45770</v>
      </c>
      <c r="I38" s="1" t="str">
        <f t="shared" si="2"/>
        <v>2025-04-23</v>
      </c>
      <c r="J38" s="1" t="s">
        <v>74</v>
      </c>
      <c r="K38" s="1" t="str">
        <f t="shared" si="3"/>
        <v>02:30 p.m.</v>
      </c>
      <c r="L38" t="s">
        <v>19</v>
      </c>
      <c r="M38" t="s">
        <v>56</v>
      </c>
      <c r="N38" s="4">
        <v>180000</v>
      </c>
      <c r="O38" s="6" t="s">
        <v>27</v>
      </c>
    </row>
    <row r="39" spans="1:15" x14ac:dyDescent="0.3">
      <c r="A39" t="s">
        <v>76</v>
      </c>
      <c r="B39" s="2" t="s">
        <v>77</v>
      </c>
      <c r="C39" t="s">
        <v>29</v>
      </c>
      <c r="D39" s="5" t="s">
        <v>30</v>
      </c>
      <c r="E39">
        <v>50040</v>
      </c>
      <c r="F39">
        <v>870005</v>
      </c>
      <c r="G39" t="s">
        <v>31</v>
      </c>
      <c r="H39" s="3">
        <v>45770</v>
      </c>
      <c r="I39" s="1" t="str">
        <f t="shared" si="2"/>
        <v>2025-04-23</v>
      </c>
      <c r="J39" s="1" t="s">
        <v>75</v>
      </c>
      <c r="K39" s="1" t="str">
        <f t="shared" si="3"/>
        <v>03:30 p.m.</v>
      </c>
      <c r="L39" t="s">
        <v>32</v>
      </c>
      <c r="M39" t="s">
        <v>33</v>
      </c>
      <c r="N39" s="4">
        <v>250000</v>
      </c>
      <c r="O39" s="7" t="s">
        <v>34</v>
      </c>
    </row>
  </sheetData>
  <autoFilter ref="A1:O39" xr:uid="{85CB9A2D-6E11-45CC-8DE2-4655C562B858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Repor_Servcicios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Pablo Mora Sanchez</dc:creator>
  <cp:lastModifiedBy>Juan Pablo Mora Sanchez</cp:lastModifiedBy>
  <dcterms:created xsi:type="dcterms:W3CDTF">2025-05-05T15:02:15Z</dcterms:created>
  <dcterms:modified xsi:type="dcterms:W3CDTF">2025-05-05T15:08:57Z</dcterms:modified>
</cp:coreProperties>
</file>